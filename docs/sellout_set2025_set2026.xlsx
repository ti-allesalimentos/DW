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gar (Núcleo)" sheetId="2" state="visible" r:id="rId2"/>
    <sheet name="NCC (Núcleo)" sheetId="3" state="visible" r:id="rId3"/>
    <sheet name="Borderline (Pagar)" sheetId="4" state="visible" r:id="rId4"/>
    <sheet name="Borderline (NCC)" sheetId="5" state="visible" r:id="rId5"/>
    <sheet name="PERDAS (Pagar)" sheetId="6" state="visible" r:id="rId6"/>
    <sheet name="PERDAS (NCC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</font>
    <font>
      <b val="1"/>
    </font>
    <font>
      <b val="1"/>
      <color rgb="001F3864"/>
      <sz val="13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Sell-out Núcleo por mês (Pagar + NCC)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'Resumo'!B11</f>
            </strRef>
          </tx>
          <spPr>
            <a:ln>
              <a:prstDash val="solid"/>
            </a:ln>
          </spPr>
          <cat>
            <numRef>
              <f>'Resumo'!$A$12:$A$24</f>
            </numRef>
          </cat>
          <val>
            <numRef>
              <f>'Resumo'!$B$12:$B$24</f>
            </numRef>
          </val>
        </ser>
        <ser>
          <idx val="1"/>
          <order val="1"/>
          <tx>
            <strRef>
              <f>'Resumo'!C11</f>
            </strRef>
          </tx>
          <spPr>
            <a:ln>
              <a:prstDash val="solid"/>
            </a:ln>
          </spPr>
          <cat>
            <numRef>
              <f>'Resumo'!$A$12:$A$24</f>
            </numRef>
          </cat>
          <val>
            <numRef>
              <f>'Resumo'!$C$12:$C$24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Gastos com Sell-out — Set/2025 a Set/2026 (13 meses, base emissão)</t>
        </is>
      </c>
    </row>
    <row r="2">
      <c r="A2" s="2" t="inlineStr">
        <is>
          <t>Regra: Núcleo = Pagar (SE2) + NCC (SE1), subtraindo do NCC apenas a PARCELA baixada por Dação (SE5 motbx=DAC), não o título todo. Borderline e Perdas em abas próprias.</t>
        </is>
      </c>
    </row>
    <row r="4">
      <c r="A4" s="3" t="inlineStr">
        <is>
          <t>Bucket</t>
        </is>
      </c>
      <c r="B4" s="3" t="inlineStr">
        <is>
          <t>Contas a Pagar</t>
        </is>
      </c>
      <c r="C4" s="3" t="inlineStr">
        <is>
          <t>NCC (Receber)</t>
        </is>
      </c>
      <c r="D4" s="3" t="inlineStr">
        <is>
          <t>TOTAL</t>
        </is>
      </c>
    </row>
    <row r="5">
      <c r="A5" s="4" t="inlineStr">
        <is>
          <t>NÚCLEO sell-out</t>
        </is>
      </c>
      <c r="B5" s="5" t="n">
        <v>5646602.61</v>
      </c>
      <c r="C5" s="5" t="n">
        <v>6080562.49</v>
      </c>
      <c r="D5" s="5" t="n">
        <v>11727165.1</v>
      </c>
    </row>
    <row r="6">
      <c r="A6" s="6" t="inlineStr">
        <is>
          <t>Borderline</t>
        </is>
      </c>
      <c r="B6" s="7" t="n">
        <v>729523.91</v>
      </c>
      <c r="C6" s="7" t="n">
        <v>281940.98</v>
      </c>
      <c r="D6" s="7" t="n">
        <v>1011464.89</v>
      </c>
    </row>
    <row r="7">
      <c r="A7" s="6" t="inlineStr">
        <is>
          <t>PERDAS (merc. vencidas)</t>
        </is>
      </c>
      <c r="B7" s="7" t="n">
        <v>65498.58</v>
      </c>
      <c r="C7" s="7" t="n">
        <v>345155.04</v>
      </c>
      <c r="D7" s="7" t="n">
        <v>410653.62</v>
      </c>
    </row>
    <row r="11">
      <c r="A11" s="8" t="inlineStr">
        <is>
          <t>Mês/Ano</t>
        </is>
      </c>
      <c r="B11" s="8" t="inlineStr">
        <is>
          <t>Pagar</t>
        </is>
      </c>
      <c r="C11" s="8" t="inlineStr">
        <is>
          <t>NCC</t>
        </is>
      </c>
    </row>
    <row r="12">
      <c r="A12" t="inlineStr">
        <is>
          <t>set/2025</t>
        </is>
      </c>
      <c r="B12" s="9" t="n">
        <v>386577.5</v>
      </c>
      <c r="C12" s="9" t="n">
        <v>457401.58</v>
      </c>
    </row>
    <row r="13">
      <c r="A13" t="inlineStr">
        <is>
          <t>out/2025</t>
        </is>
      </c>
      <c r="B13" s="9" t="n">
        <v>363531.97</v>
      </c>
      <c r="C13" s="9" t="n">
        <v>597006.65</v>
      </c>
    </row>
    <row r="14">
      <c r="A14" t="inlineStr">
        <is>
          <t>nov/2025</t>
        </is>
      </c>
      <c r="B14" s="9" t="n">
        <v>371737.61</v>
      </c>
      <c r="C14" s="9" t="n">
        <v>224695.73</v>
      </c>
    </row>
    <row r="15">
      <c r="A15" t="inlineStr">
        <is>
          <t>dez/2025</t>
        </is>
      </c>
      <c r="B15" s="9" t="n">
        <v>336352.99</v>
      </c>
      <c r="C15" s="9" t="n">
        <v>581307.85</v>
      </c>
    </row>
    <row r="16">
      <c r="A16" t="inlineStr">
        <is>
          <t>jan/2026</t>
        </is>
      </c>
      <c r="B16" s="9" t="n">
        <v>356595.92</v>
      </c>
      <c r="C16" s="9" t="n">
        <v>773103.1</v>
      </c>
    </row>
    <row r="17">
      <c r="A17" t="inlineStr">
        <is>
          <t>fev/2026</t>
        </is>
      </c>
      <c r="B17" s="9" t="n">
        <v>545371.76</v>
      </c>
      <c r="C17" s="9" t="n">
        <v>387661.49</v>
      </c>
    </row>
    <row r="18">
      <c r="A18" t="inlineStr">
        <is>
          <t>mar/2026</t>
        </is>
      </c>
      <c r="B18" s="9" t="n">
        <v>396621.13</v>
      </c>
      <c r="C18" s="9" t="n">
        <v>349580.6</v>
      </c>
    </row>
    <row r="19">
      <c r="A19" t="inlineStr">
        <is>
          <t>abr/2026</t>
        </is>
      </c>
      <c r="B19" s="9" t="n">
        <v>450898.42</v>
      </c>
      <c r="C19" s="9" t="n">
        <v>946829.22</v>
      </c>
    </row>
    <row r="20">
      <c r="A20" t="inlineStr">
        <is>
          <t>mai/2026</t>
        </is>
      </c>
      <c r="B20" s="9" t="n">
        <v>452006.5</v>
      </c>
      <c r="C20" s="9" t="n">
        <v>256230.01</v>
      </c>
    </row>
    <row r="21">
      <c r="A21" t="inlineStr">
        <is>
          <t>jun/2026</t>
        </is>
      </c>
      <c r="B21" s="9" t="n">
        <v>504201.42</v>
      </c>
      <c r="C21" s="9" t="n">
        <v>513426.51</v>
      </c>
    </row>
    <row r="22">
      <c r="A22" t="inlineStr">
        <is>
          <t>jul/2026</t>
        </is>
      </c>
      <c r="B22" s="9" t="n">
        <v>464781.17</v>
      </c>
      <c r="C22" s="9" t="n">
        <v>454448.24</v>
      </c>
    </row>
    <row r="23">
      <c r="A23" t="inlineStr">
        <is>
          <t>ago/2026</t>
        </is>
      </c>
      <c r="B23" s="9" t="n">
        <v>486565.32</v>
      </c>
      <c r="C23" s="9" t="n">
        <v>334927.72</v>
      </c>
    </row>
    <row r="24">
      <c r="A24" t="inlineStr">
        <is>
          <t>set/2026</t>
        </is>
      </c>
      <c r="B24" s="9" t="n">
        <v>531360.9</v>
      </c>
      <c r="C24" s="9" t="n">
        <v>203943.79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0" t="inlineStr">
        <is>
          <t>Pagar (Núcleo)</t>
        </is>
      </c>
    </row>
    <row r="3">
      <c r="A3" s="3" t="inlineStr">
        <is>
          <t>Mês/Ano</t>
        </is>
      </c>
      <c r="B3" s="3" t="inlineStr">
        <is>
          <t>0404004 PROMOTORES</t>
        </is>
      </c>
      <c r="C3" s="3" t="inlineStr">
        <is>
          <t>0404001 MATERIAL DE MARKETING</t>
        </is>
      </c>
      <c r="D3" s="3" t="inlineStr">
        <is>
          <t>0404002 ACAO OU INVESTIMENTO EM CLIENT</t>
        </is>
      </c>
      <c r="E3" s="3" t="inlineStr">
        <is>
          <t>0404006 DEGUSTACAO</t>
        </is>
      </c>
      <c r="F3" s="3" t="inlineStr">
        <is>
          <t>0404007 ACORDO COMERCIAL</t>
        </is>
      </c>
      <c r="G3" s="3" t="inlineStr">
        <is>
          <t>0404005 INAUGURACAO/REINAUGURACAO DE L</t>
        </is>
      </c>
      <c r="H3" s="3" t="inlineStr">
        <is>
          <t>0404009 COMERCIAL - ANIVERSARIO</t>
        </is>
      </c>
      <c r="I3" s="3" t="inlineStr">
        <is>
          <t>0404013 ACORDO CRESCIMENTO FAT</t>
        </is>
      </c>
      <c r="J3" s="3" t="inlineStr">
        <is>
          <t>0404016 CAMPANHA REPRESENTANTE COMERCI</t>
        </is>
      </c>
      <c r="K3" s="3" t="inlineStr">
        <is>
          <t>0404010 COMERCIAL - BLACK FRIDAY</t>
        </is>
      </c>
      <c r="L3" s="3" t="inlineStr">
        <is>
          <t>0404014 COMERCIAL - BRINDES CLIENTES</t>
        </is>
      </c>
      <c r="M3" s="3" t="inlineStr">
        <is>
          <t>TOTAL</t>
        </is>
      </c>
    </row>
    <row r="4">
      <c r="A4" s="6" t="inlineStr">
        <is>
          <t>set/2025</t>
        </is>
      </c>
      <c r="B4" s="7" t="n">
        <v>375242.08</v>
      </c>
      <c r="C4" s="7" t="n">
        <v>4259.65</v>
      </c>
      <c r="D4" s="7" t="n">
        <v>0</v>
      </c>
      <c r="E4" s="7" t="n">
        <v>2597.21</v>
      </c>
      <c r="F4" s="7" t="n">
        <v>4478.56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5" t="n">
        <v>386577.5</v>
      </c>
    </row>
    <row r="5">
      <c r="A5" s="6" t="inlineStr">
        <is>
          <t>out/2025</t>
        </is>
      </c>
      <c r="B5" s="7" t="n">
        <v>354078.13</v>
      </c>
      <c r="C5" s="7" t="n">
        <v>2055.14</v>
      </c>
      <c r="D5" s="7" t="n">
        <v>69.90000000000001</v>
      </c>
      <c r="E5" s="7" t="n">
        <v>3850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3478.8</v>
      </c>
      <c r="M5" s="5" t="n">
        <v>363531.97</v>
      </c>
    </row>
    <row r="6">
      <c r="A6" s="6" t="inlineStr">
        <is>
          <t>nov/2025</t>
        </is>
      </c>
      <c r="B6" s="7" t="n">
        <v>364189.6</v>
      </c>
      <c r="C6" s="7" t="n">
        <v>2089.59</v>
      </c>
      <c r="D6" s="7" t="n">
        <v>1889.38</v>
      </c>
      <c r="E6" s="7" t="n">
        <v>3569.04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5" t="n">
        <v>371737.61</v>
      </c>
    </row>
    <row r="7">
      <c r="A7" s="6" t="inlineStr">
        <is>
          <t>dez/2025</t>
        </is>
      </c>
      <c r="B7" s="7" t="n">
        <v>328155.59</v>
      </c>
      <c r="C7" s="7" t="n">
        <v>2750</v>
      </c>
      <c r="D7" s="7" t="n">
        <v>0</v>
      </c>
      <c r="E7" s="7" t="n">
        <v>447.4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5000</v>
      </c>
      <c r="L7" s="7" t="n">
        <v>0</v>
      </c>
      <c r="M7" s="5" t="n">
        <v>336352.99</v>
      </c>
    </row>
    <row r="8">
      <c r="A8" s="6" t="inlineStr">
        <is>
          <t>jan/2026</t>
        </is>
      </c>
      <c r="B8" s="7" t="n">
        <v>354485.65</v>
      </c>
      <c r="C8" s="7" t="n">
        <v>2110.27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5" t="n">
        <v>356595.92</v>
      </c>
    </row>
    <row r="9">
      <c r="A9" s="6" t="inlineStr">
        <is>
          <t>fev/2026</t>
        </is>
      </c>
      <c r="B9" s="7" t="n">
        <v>368980.89</v>
      </c>
      <c r="C9" s="7" t="n">
        <v>162090.37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14300.5</v>
      </c>
      <c r="J9" s="7" t="n">
        <v>0</v>
      </c>
      <c r="K9" s="7" t="n">
        <v>0</v>
      </c>
      <c r="L9" s="7" t="n">
        <v>0</v>
      </c>
      <c r="M9" s="5" t="n">
        <v>545371.76</v>
      </c>
    </row>
    <row r="10">
      <c r="A10" s="6" t="inlineStr">
        <is>
          <t>mar/2026</t>
        </is>
      </c>
      <c r="B10" s="7" t="n">
        <v>366866.15</v>
      </c>
      <c r="C10" s="7" t="n">
        <v>2712.03</v>
      </c>
      <c r="D10" s="7" t="n">
        <v>2668.9</v>
      </c>
      <c r="E10" s="7" t="n">
        <v>12586.05</v>
      </c>
      <c r="F10" s="7" t="n">
        <v>11788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5" t="n">
        <v>396621.13</v>
      </c>
    </row>
    <row r="11">
      <c r="A11" s="6" t="inlineStr">
        <is>
          <t>abr/2026</t>
        </is>
      </c>
      <c r="B11" s="7" t="n">
        <v>414942.86</v>
      </c>
      <c r="C11" s="7" t="n">
        <v>27640</v>
      </c>
      <c r="D11" s="7" t="n">
        <v>6001</v>
      </c>
      <c r="E11" s="7" t="n">
        <v>2314.56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5" t="n">
        <v>450898.42</v>
      </c>
    </row>
    <row r="12">
      <c r="A12" s="6" t="inlineStr">
        <is>
          <t>mai/2026</t>
        </is>
      </c>
      <c r="B12" s="7" t="n">
        <v>414955.05</v>
      </c>
      <c r="C12" s="7" t="n">
        <v>15228.86</v>
      </c>
      <c r="D12" s="7" t="n">
        <v>6978</v>
      </c>
      <c r="E12" s="7" t="n">
        <v>1840.09</v>
      </c>
      <c r="F12" s="7" t="n">
        <v>3004.5</v>
      </c>
      <c r="G12" s="7" t="n">
        <v>10000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5" t="n">
        <v>452006.5</v>
      </c>
    </row>
    <row r="13">
      <c r="A13" s="6" t="inlineStr">
        <is>
          <t>jun/2026</t>
        </is>
      </c>
      <c r="B13" s="7" t="n">
        <v>413820.65</v>
      </c>
      <c r="C13" s="7" t="n">
        <v>62582.69</v>
      </c>
      <c r="D13" s="7" t="n">
        <v>10379.98</v>
      </c>
      <c r="E13" s="7" t="n">
        <v>5568.44</v>
      </c>
      <c r="F13" s="7" t="n">
        <v>2649.5</v>
      </c>
      <c r="G13" s="7" t="n">
        <v>5000</v>
      </c>
      <c r="H13" s="7" t="n">
        <v>0</v>
      </c>
      <c r="I13" s="7" t="n">
        <v>0</v>
      </c>
      <c r="J13" s="7" t="n">
        <v>4200.16</v>
      </c>
      <c r="K13" s="7" t="n">
        <v>0</v>
      </c>
      <c r="L13" s="7" t="n">
        <v>0</v>
      </c>
      <c r="M13" s="5" t="n">
        <v>504201.42</v>
      </c>
    </row>
    <row r="14">
      <c r="A14" s="6" t="inlineStr">
        <is>
          <t>jul/2026</t>
        </is>
      </c>
      <c r="B14" s="7" t="n">
        <v>422062.49</v>
      </c>
      <c r="C14" s="7" t="n">
        <v>2000</v>
      </c>
      <c r="D14" s="7" t="n">
        <v>3350</v>
      </c>
      <c r="E14" s="7" t="n">
        <v>0</v>
      </c>
      <c r="F14" s="7" t="n">
        <v>10168.52</v>
      </c>
      <c r="G14" s="7" t="n">
        <v>5000</v>
      </c>
      <c r="H14" s="7" t="n">
        <v>18000</v>
      </c>
      <c r="I14" s="7" t="n">
        <v>0</v>
      </c>
      <c r="J14" s="7" t="n">
        <v>4200.16</v>
      </c>
      <c r="K14" s="7" t="n">
        <v>0</v>
      </c>
      <c r="L14" s="7" t="n">
        <v>0</v>
      </c>
      <c r="M14" s="5" t="n">
        <v>464781.17</v>
      </c>
    </row>
    <row r="15">
      <c r="A15" s="6" t="inlineStr">
        <is>
          <t>ago/2026</t>
        </is>
      </c>
      <c r="B15" s="7" t="n">
        <v>449353.55</v>
      </c>
      <c r="C15" s="7" t="n">
        <v>2049.95</v>
      </c>
      <c r="D15" s="7" t="n">
        <v>15593.09</v>
      </c>
      <c r="E15" s="7" t="n">
        <v>8914.379999999999</v>
      </c>
      <c r="F15" s="7" t="n">
        <v>6454.19</v>
      </c>
      <c r="G15" s="7" t="n">
        <v>0</v>
      </c>
      <c r="H15" s="7" t="n">
        <v>0</v>
      </c>
      <c r="I15" s="7" t="n">
        <v>0</v>
      </c>
      <c r="J15" s="7" t="n">
        <v>4200.16</v>
      </c>
      <c r="K15" s="7" t="n">
        <v>0</v>
      </c>
      <c r="L15" s="7" t="n">
        <v>0</v>
      </c>
      <c r="M15" s="5" t="n">
        <v>486565.32</v>
      </c>
    </row>
    <row r="16">
      <c r="A16" s="6" t="inlineStr">
        <is>
          <t>set/2026</t>
        </is>
      </c>
      <c r="B16" s="7" t="n">
        <v>471746.42</v>
      </c>
      <c r="C16" s="7" t="n">
        <v>37386</v>
      </c>
      <c r="D16" s="7" t="n">
        <v>11828.48</v>
      </c>
      <c r="E16" s="7" t="n">
        <v>400</v>
      </c>
      <c r="F16" s="7" t="n">
        <v>0</v>
      </c>
      <c r="G16" s="7" t="n">
        <v>10000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5" t="n">
        <v>531360.9</v>
      </c>
    </row>
    <row r="17">
      <c r="A17" s="4" t="inlineStr">
        <is>
          <t>TOTAL</t>
        </is>
      </c>
      <c r="B17" s="5" t="n">
        <v>5098879.11</v>
      </c>
      <c r="C17" s="5" t="n">
        <v>324954.55</v>
      </c>
      <c r="D17" s="5" t="n">
        <v>58758.73</v>
      </c>
      <c r="E17" s="5" t="n">
        <v>42087.17</v>
      </c>
      <c r="F17" s="5" t="n">
        <v>38543.27</v>
      </c>
      <c r="G17" s="5" t="n">
        <v>30000</v>
      </c>
      <c r="H17" s="5" t="n">
        <v>18000</v>
      </c>
      <c r="I17" s="5" t="n">
        <v>14300.5</v>
      </c>
      <c r="J17" s="5" t="n">
        <v>12600.48</v>
      </c>
      <c r="K17" s="5" t="n">
        <v>5000</v>
      </c>
      <c r="L17" s="5" t="n">
        <v>3478.8</v>
      </c>
      <c r="M17" s="11" t="n">
        <v>5646602.61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0" t="inlineStr">
        <is>
          <t>NCC (Núcleo)</t>
        </is>
      </c>
    </row>
    <row r="3">
      <c r="A3" s="3" t="inlineStr">
        <is>
          <t>Mês/Ano</t>
        </is>
      </c>
      <c r="B3" s="3" t="inlineStr">
        <is>
          <t>0404007 ACORDO COMERCIAL</t>
        </is>
      </c>
      <c r="C3" s="3" t="inlineStr">
        <is>
          <t>0404002 ACAO OU INVESTIMENTO EM CLIENT</t>
        </is>
      </c>
      <c r="D3" s="3" t="inlineStr">
        <is>
          <t>0404008 COMERCIAL - CRESCIMENTO</t>
        </is>
      </c>
      <c r="E3" s="3" t="inlineStr">
        <is>
          <t>0404005 INAUGURACAO/REINAUGURACAO DE L</t>
        </is>
      </c>
      <c r="F3" s="3" t="inlineStr">
        <is>
          <t>0404015 COMERCIAL - JBP</t>
        </is>
      </c>
      <c r="G3" s="3" t="inlineStr">
        <is>
          <t>0404010 COMERCIAL - BLACK FRIDAY</t>
        </is>
      </c>
      <c r="H3" s="3" t="inlineStr">
        <is>
          <t>0404009 COMERCIAL - ANIVERSARIO</t>
        </is>
      </c>
      <c r="I3" s="3" t="inlineStr">
        <is>
          <t>0404001 MATERIAL DE MARKETING</t>
        </is>
      </c>
      <c r="J3" s="3" t="inlineStr">
        <is>
          <t>0404011 BONIFICACAO DE CLIENTES</t>
        </is>
      </c>
      <c r="K3" s="3" t="inlineStr">
        <is>
          <t>0404013 ACORDO CRESCIMENTO FAT</t>
        </is>
      </c>
      <c r="L3" s="3" t="inlineStr">
        <is>
          <t>0404004 PROMOTORES</t>
        </is>
      </c>
      <c r="M3" s="3" t="inlineStr">
        <is>
          <t>TOTAL</t>
        </is>
      </c>
    </row>
    <row r="4">
      <c r="A4" s="6" t="inlineStr">
        <is>
          <t>set/2025</t>
        </is>
      </c>
      <c r="B4" s="7" t="n">
        <v>384870.25</v>
      </c>
      <c r="C4" s="7" t="n">
        <v>4107.92</v>
      </c>
      <c r="D4" s="7" t="n">
        <v>13004.09</v>
      </c>
      <c r="E4" s="7" t="n">
        <v>21663.94</v>
      </c>
      <c r="F4" s="7" t="n">
        <v>0</v>
      </c>
      <c r="G4" s="7" t="n">
        <v>5000</v>
      </c>
      <c r="H4" s="7" t="n">
        <v>28750</v>
      </c>
      <c r="I4" s="7" t="n">
        <v>0</v>
      </c>
      <c r="J4" s="7" t="n">
        <v>5.38</v>
      </c>
      <c r="K4" s="7" t="n">
        <v>0</v>
      </c>
      <c r="L4" s="7" t="n">
        <v>0</v>
      </c>
      <c r="M4" s="5" t="n">
        <v>457401.58</v>
      </c>
    </row>
    <row r="5">
      <c r="A5" s="6" t="inlineStr">
        <is>
          <t>out/2025</t>
        </is>
      </c>
      <c r="B5" s="7" t="n">
        <v>463688.95</v>
      </c>
      <c r="C5" s="7" t="n">
        <v>31360.95</v>
      </c>
      <c r="D5" s="7" t="n">
        <v>0</v>
      </c>
      <c r="E5" s="7" t="n">
        <v>64412.45</v>
      </c>
      <c r="F5" s="7" t="n">
        <v>0</v>
      </c>
      <c r="G5" s="7" t="n">
        <v>5000</v>
      </c>
      <c r="H5" s="7" t="n">
        <v>32544.3</v>
      </c>
      <c r="I5" s="7" t="n">
        <v>0</v>
      </c>
      <c r="J5" s="7" t="n">
        <v>0</v>
      </c>
      <c r="K5" s="7" t="n">
        <v>0</v>
      </c>
      <c r="L5" s="7" t="n">
        <v>0</v>
      </c>
      <c r="M5" s="5" t="n">
        <v>597006.65</v>
      </c>
    </row>
    <row r="6">
      <c r="A6" s="6" t="inlineStr">
        <is>
          <t>nov/2025</t>
        </is>
      </c>
      <c r="B6" s="7" t="n">
        <v>141058.44</v>
      </c>
      <c r="C6" s="7" t="n">
        <v>31899.22</v>
      </c>
      <c r="D6" s="7" t="n">
        <v>0</v>
      </c>
      <c r="E6" s="7" t="n">
        <v>21653.73</v>
      </c>
      <c r="F6" s="7" t="n">
        <v>0</v>
      </c>
      <c r="G6" s="7" t="n">
        <v>5544.5</v>
      </c>
      <c r="H6" s="7" t="n">
        <v>16750</v>
      </c>
      <c r="I6" s="7" t="n">
        <v>0</v>
      </c>
      <c r="J6" s="7" t="n">
        <v>0</v>
      </c>
      <c r="K6" s="7" t="n">
        <v>7789.84</v>
      </c>
      <c r="L6" s="7" t="n">
        <v>0</v>
      </c>
      <c r="M6" s="5" t="n">
        <v>224695.73</v>
      </c>
    </row>
    <row r="7">
      <c r="A7" s="6" t="inlineStr">
        <is>
          <t>dez/2025</t>
        </is>
      </c>
      <c r="B7" s="7" t="n">
        <v>199409.88</v>
      </c>
      <c r="C7" s="7" t="n">
        <v>32317.87</v>
      </c>
      <c r="D7" s="7" t="n">
        <v>0</v>
      </c>
      <c r="E7" s="7" t="n">
        <v>120093.28</v>
      </c>
      <c r="F7" s="7" t="n">
        <v>0</v>
      </c>
      <c r="G7" s="7" t="n">
        <v>197558.35</v>
      </c>
      <c r="H7" s="7" t="n">
        <v>22750</v>
      </c>
      <c r="I7" s="7" t="n">
        <v>1200</v>
      </c>
      <c r="J7" s="7" t="n">
        <v>7978.47</v>
      </c>
      <c r="K7" s="7" t="n">
        <v>0</v>
      </c>
      <c r="L7" s="7" t="n">
        <v>0</v>
      </c>
      <c r="M7" s="5" t="n">
        <v>581307.85</v>
      </c>
    </row>
    <row r="8">
      <c r="A8" s="6" t="inlineStr">
        <is>
          <t>jan/2026</t>
        </is>
      </c>
      <c r="B8" s="7" t="n">
        <v>164001.66</v>
      </c>
      <c r="C8" s="7" t="n">
        <v>60284.75</v>
      </c>
      <c r="D8" s="7" t="n">
        <v>401404</v>
      </c>
      <c r="E8" s="7" t="n">
        <v>26242.69</v>
      </c>
      <c r="F8" s="7" t="n">
        <v>0</v>
      </c>
      <c r="G8" s="7" t="n">
        <v>118170</v>
      </c>
      <c r="H8" s="7" t="n">
        <v>3000</v>
      </c>
      <c r="I8" s="7" t="n">
        <v>0</v>
      </c>
      <c r="J8" s="7" t="n">
        <v>0</v>
      </c>
      <c r="K8" s="7" t="n">
        <v>0</v>
      </c>
      <c r="L8" s="7" t="n">
        <v>0</v>
      </c>
      <c r="M8" s="5" t="n">
        <v>773103.1</v>
      </c>
    </row>
    <row r="9">
      <c r="A9" s="6" t="inlineStr">
        <is>
          <t>fev/2026</t>
        </is>
      </c>
      <c r="B9" s="7" t="n">
        <v>120460.35</v>
      </c>
      <c r="C9" s="7" t="n">
        <v>147777.31</v>
      </c>
      <c r="D9" s="7" t="n">
        <v>20352.4</v>
      </c>
      <c r="E9" s="7" t="n">
        <v>0</v>
      </c>
      <c r="F9" s="7" t="n">
        <v>0</v>
      </c>
      <c r="G9" s="7" t="n">
        <v>0</v>
      </c>
      <c r="H9" s="7" t="n">
        <v>22571.43</v>
      </c>
      <c r="I9" s="7" t="n">
        <v>76500</v>
      </c>
      <c r="J9" s="7" t="n">
        <v>0</v>
      </c>
      <c r="K9" s="7" t="n">
        <v>0</v>
      </c>
      <c r="L9" s="7" t="n">
        <v>0</v>
      </c>
      <c r="M9" s="5" t="n">
        <v>387661.49</v>
      </c>
    </row>
    <row r="10">
      <c r="A10" s="6" t="inlineStr">
        <is>
          <t>mar/2026</t>
        </is>
      </c>
      <c r="B10" s="7" t="n">
        <v>169456.63</v>
      </c>
      <c r="C10" s="7" t="n">
        <v>174123.97</v>
      </c>
      <c r="D10" s="7" t="n">
        <v>0</v>
      </c>
      <c r="E10" s="7" t="n">
        <v>6000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5" t="n">
        <v>349580.6</v>
      </c>
    </row>
    <row r="11">
      <c r="A11" s="6" t="inlineStr">
        <is>
          <t>abr/2026</t>
        </is>
      </c>
      <c r="B11" s="7" t="n">
        <v>108321.41</v>
      </c>
      <c r="C11" s="7" t="n">
        <v>283332.35</v>
      </c>
      <c r="D11" s="7" t="n">
        <v>255063.19</v>
      </c>
      <c r="E11" s="7" t="n">
        <v>6961.39</v>
      </c>
      <c r="F11" s="7" t="n">
        <v>293150.88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5" t="n">
        <v>946829.22</v>
      </c>
    </row>
    <row r="12">
      <c r="A12" s="6" t="inlineStr">
        <is>
          <t>mai/2026</t>
        </is>
      </c>
      <c r="B12" s="7" t="n">
        <v>38881.28</v>
      </c>
      <c r="C12" s="7" t="n">
        <v>191024.22</v>
      </c>
      <c r="D12" s="7" t="n">
        <v>0</v>
      </c>
      <c r="E12" s="7" t="n">
        <v>0</v>
      </c>
      <c r="F12" s="7" t="n">
        <v>18074.51</v>
      </c>
      <c r="G12" s="7" t="n">
        <v>0</v>
      </c>
      <c r="H12" s="7" t="n">
        <v>3000</v>
      </c>
      <c r="I12" s="7" t="n">
        <v>0</v>
      </c>
      <c r="J12" s="7" t="n">
        <v>0</v>
      </c>
      <c r="K12" s="7" t="n">
        <v>0</v>
      </c>
      <c r="L12" s="7" t="n">
        <v>5250</v>
      </c>
      <c r="M12" s="5" t="n">
        <v>256230.01</v>
      </c>
    </row>
    <row r="13">
      <c r="A13" s="6" t="inlineStr">
        <is>
          <t>jun/2026</t>
        </is>
      </c>
      <c r="B13" s="7" t="n">
        <v>112047.6</v>
      </c>
      <c r="C13" s="7" t="n">
        <v>248665.24</v>
      </c>
      <c r="D13" s="7" t="n">
        <v>0</v>
      </c>
      <c r="E13" s="7" t="n">
        <v>98831.49000000001</v>
      </c>
      <c r="F13" s="7" t="n">
        <v>0</v>
      </c>
      <c r="G13" s="7" t="n">
        <v>0</v>
      </c>
      <c r="H13" s="7" t="n">
        <v>0</v>
      </c>
      <c r="I13" s="7" t="n">
        <v>53882.18</v>
      </c>
      <c r="J13" s="7" t="n">
        <v>0</v>
      </c>
      <c r="K13" s="7" t="n">
        <v>0</v>
      </c>
      <c r="L13" s="7" t="n">
        <v>0</v>
      </c>
      <c r="M13" s="5" t="n">
        <v>513426.51</v>
      </c>
    </row>
    <row r="14">
      <c r="A14" s="6" t="inlineStr">
        <is>
          <t>jul/2026</t>
        </is>
      </c>
      <c r="B14" s="7" t="n">
        <v>84776.27</v>
      </c>
      <c r="C14" s="7" t="n">
        <v>220023.91</v>
      </c>
      <c r="D14" s="7" t="n">
        <v>0</v>
      </c>
      <c r="E14" s="7" t="n">
        <v>31514.06</v>
      </c>
      <c r="F14" s="7" t="n">
        <v>101814</v>
      </c>
      <c r="G14" s="7" t="n">
        <v>0</v>
      </c>
      <c r="H14" s="7" t="n">
        <v>4320</v>
      </c>
      <c r="I14" s="7" t="n">
        <v>12000</v>
      </c>
      <c r="J14" s="7" t="n">
        <v>0</v>
      </c>
      <c r="K14" s="7" t="n">
        <v>0</v>
      </c>
      <c r="L14" s="7" t="n">
        <v>0</v>
      </c>
      <c r="M14" s="5" t="n">
        <v>454448.24</v>
      </c>
    </row>
    <row r="15">
      <c r="A15" s="6" t="inlineStr">
        <is>
          <t>ago/2026</t>
        </is>
      </c>
      <c r="B15" s="7" t="n">
        <v>66219.36</v>
      </c>
      <c r="C15" s="7" t="n">
        <v>130748.12</v>
      </c>
      <c r="D15" s="7" t="n">
        <v>2010</v>
      </c>
      <c r="E15" s="7" t="n">
        <v>17950.24</v>
      </c>
      <c r="F15" s="7" t="n">
        <v>0</v>
      </c>
      <c r="G15" s="7" t="n">
        <v>0</v>
      </c>
      <c r="H15" s="7" t="n">
        <v>98000</v>
      </c>
      <c r="I15" s="7" t="n">
        <v>20000</v>
      </c>
      <c r="J15" s="7" t="n">
        <v>0</v>
      </c>
      <c r="K15" s="7" t="n">
        <v>0</v>
      </c>
      <c r="L15" s="7" t="n">
        <v>0</v>
      </c>
      <c r="M15" s="5" t="n">
        <v>334927.72</v>
      </c>
    </row>
    <row r="16">
      <c r="A16" s="6" t="inlineStr">
        <is>
          <t>set/2026</t>
        </is>
      </c>
      <c r="B16" s="7" t="n">
        <v>55805.55</v>
      </c>
      <c r="C16" s="7" t="n">
        <v>42199.52</v>
      </c>
      <c r="D16" s="7" t="n">
        <v>0</v>
      </c>
      <c r="E16" s="7" t="n">
        <v>14538.72</v>
      </c>
      <c r="F16" s="7" t="n">
        <v>0</v>
      </c>
      <c r="G16" s="7" t="n">
        <v>0</v>
      </c>
      <c r="H16" s="7" t="n">
        <v>68400</v>
      </c>
      <c r="I16" s="7" t="n">
        <v>23000</v>
      </c>
      <c r="J16" s="7" t="n">
        <v>0</v>
      </c>
      <c r="K16" s="7" t="n">
        <v>0</v>
      </c>
      <c r="L16" s="7" t="n">
        <v>0</v>
      </c>
      <c r="M16" s="5" t="n">
        <v>203943.79</v>
      </c>
    </row>
    <row r="17">
      <c r="A17" s="4" t="inlineStr">
        <is>
          <t>TOTAL</t>
        </is>
      </c>
      <c r="B17" s="5" t="n">
        <v>2108997.63</v>
      </c>
      <c r="C17" s="5" t="n">
        <v>1597865.35</v>
      </c>
      <c r="D17" s="5" t="n">
        <v>691833.6800000001</v>
      </c>
      <c r="E17" s="5" t="n">
        <v>429861.99</v>
      </c>
      <c r="F17" s="5" t="n">
        <v>413039.39</v>
      </c>
      <c r="G17" s="5" t="n">
        <v>331272.85</v>
      </c>
      <c r="H17" s="5" t="n">
        <v>300085.73</v>
      </c>
      <c r="I17" s="5" t="n">
        <v>186582.18</v>
      </c>
      <c r="J17" s="5" t="n">
        <v>7983.85</v>
      </c>
      <c r="K17" s="5" t="n">
        <v>7789.84</v>
      </c>
      <c r="L17" s="5" t="n">
        <v>5250</v>
      </c>
      <c r="M17" s="11" t="n">
        <v>6080562.49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0" t="inlineStr">
        <is>
          <t>Borderline (Pagar)</t>
        </is>
      </c>
    </row>
    <row r="3">
      <c r="A3" s="3" t="inlineStr">
        <is>
          <t>Mês/Ano</t>
        </is>
      </c>
      <c r="B3" s="3" t="inlineStr">
        <is>
          <t>0404012 COMERCIAL - DESPESAS DE VIAGEM</t>
        </is>
      </c>
      <c r="C3" s="3" t="inlineStr">
        <is>
          <t>0404017 COMERCIAL - SERV. DE TERCEIROS</t>
        </is>
      </c>
      <c r="D3" s="3" t="inlineStr">
        <is>
          <t>0104002 DESCONTOS CONCEDIDOS A CLIENTE</t>
        </is>
      </c>
      <c r="E3" s="3" t="inlineStr">
        <is>
          <t>0404003 RECLAMACOES DE CLIENTES</t>
        </is>
      </c>
      <c r="F3" s="3" t="inlineStr">
        <is>
          <t>TOTAL</t>
        </is>
      </c>
    </row>
    <row r="4">
      <c r="A4" s="6" t="inlineStr">
        <is>
          <t>set/2025</t>
        </is>
      </c>
      <c r="B4" s="7" t="n">
        <v>14094.79</v>
      </c>
      <c r="C4" s="7" t="n">
        <v>0</v>
      </c>
      <c r="D4" s="7" t="n">
        <v>0</v>
      </c>
      <c r="E4" s="7" t="n">
        <v>175.63</v>
      </c>
      <c r="F4" s="5" t="n">
        <v>14270.42</v>
      </c>
    </row>
    <row r="5">
      <c r="A5" s="6" t="inlineStr">
        <is>
          <t>out/2025</t>
        </is>
      </c>
      <c r="B5" s="7" t="n">
        <v>37726.32</v>
      </c>
      <c r="C5" s="7" t="n">
        <v>0</v>
      </c>
      <c r="D5" s="7" t="n">
        <v>0</v>
      </c>
      <c r="E5" s="7" t="n">
        <v>385.5</v>
      </c>
      <c r="F5" s="5" t="n">
        <v>38111.82</v>
      </c>
    </row>
    <row r="6">
      <c r="A6" s="6" t="inlineStr">
        <is>
          <t>nov/2025</t>
        </is>
      </c>
      <c r="B6" s="7" t="n">
        <v>11712.41</v>
      </c>
      <c r="C6" s="7" t="n">
        <v>0</v>
      </c>
      <c r="D6" s="7" t="n">
        <v>0</v>
      </c>
      <c r="E6" s="7" t="n">
        <v>128.9</v>
      </c>
      <c r="F6" s="5" t="n">
        <v>11841.31</v>
      </c>
    </row>
    <row r="7">
      <c r="A7" s="6" t="inlineStr">
        <is>
          <t>dez/2025</t>
        </is>
      </c>
      <c r="B7" s="7" t="n">
        <v>4348.18</v>
      </c>
      <c r="C7" s="7" t="n">
        <v>0</v>
      </c>
      <c r="D7" s="7" t="n">
        <v>3334.1</v>
      </c>
      <c r="E7" s="7" t="n">
        <v>74.90000000000001</v>
      </c>
      <c r="F7" s="5" t="n">
        <v>7757.18</v>
      </c>
    </row>
    <row r="8">
      <c r="A8" s="6" t="inlineStr">
        <is>
          <t>jan/2026</t>
        </is>
      </c>
      <c r="B8" s="7" t="n">
        <v>38570.32</v>
      </c>
      <c r="C8" s="7" t="n">
        <v>0</v>
      </c>
      <c r="D8" s="7" t="n">
        <v>0</v>
      </c>
      <c r="E8" s="7" t="n">
        <v>306</v>
      </c>
      <c r="F8" s="5" t="n">
        <v>38876.32</v>
      </c>
    </row>
    <row r="9">
      <c r="A9" s="6" t="inlineStr">
        <is>
          <t>fev/2026</t>
        </is>
      </c>
      <c r="B9" s="7" t="n">
        <v>36737.22</v>
      </c>
      <c r="C9" s="7" t="n">
        <v>0</v>
      </c>
      <c r="D9" s="7" t="n">
        <v>17561.1</v>
      </c>
      <c r="E9" s="7" t="n">
        <v>152</v>
      </c>
      <c r="F9" s="5" t="n">
        <v>54450.32</v>
      </c>
    </row>
    <row r="10">
      <c r="A10" s="6" t="inlineStr">
        <is>
          <t>mar/2026</t>
        </is>
      </c>
      <c r="B10" s="7" t="n">
        <v>42035.43</v>
      </c>
      <c r="C10" s="7" t="n">
        <v>0</v>
      </c>
      <c r="D10" s="7" t="n">
        <v>0</v>
      </c>
      <c r="E10" s="7" t="n">
        <v>782</v>
      </c>
      <c r="F10" s="5" t="n">
        <v>42817.43</v>
      </c>
    </row>
    <row r="11">
      <c r="A11" s="6" t="inlineStr">
        <is>
          <t>abr/2026</t>
        </is>
      </c>
      <c r="B11" s="7" t="n">
        <v>67866.89999999999</v>
      </c>
      <c r="C11" s="7" t="n">
        <v>0</v>
      </c>
      <c r="D11" s="7" t="n">
        <v>0</v>
      </c>
      <c r="E11" s="7" t="n">
        <v>211</v>
      </c>
      <c r="F11" s="5" t="n">
        <v>68077.89999999999</v>
      </c>
    </row>
    <row r="12">
      <c r="A12" s="6" t="inlineStr">
        <is>
          <t>mai/2026</t>
        </is>
      </c>
      <c r="B12" s="7" t="n">
        <v>53955.26</v>
      </c>
      <c r="C12" s="7" t="n">
        <v>0</v>
      </c>
      <c r="D12" s="7" t="n">
        <v>0</v>
      </c>
      <c r="E12" s="7" t="n">
        <v>610.3</v>
      </c>
      <c r="F12" s="5" t="n">
        <v>54565.56</v>
      </c>
    </row>
    <row r="13">
      <c r="A13" s="6" t="inlineStr">
        <is>
          <t>jun/2026</t>
        </is>
      </c>
      <c r="B13" s="7" t="n">
        <v>57786.72</v>
      </c>
      <c r="C13" s="7" t="n">
        <v>20000</v>
      </c>
      <c r="D13" s="7" t="n">
        <v>203.04</v>
      </c>
      <c r="E13" s="7" t="n">
        <v>245</v>
      </c>
      <c r="F13" s="5" t="n">
        <v>78234.75999999999</v>
      </c>
    </row>
    <row r="14">
      <c r="A14" s="6" t="inlineStr">
        <is>
          <t>jul/2026</t>
        </is>
      </c>
      <c r="B14" s="7" t="n">
        <v>71519.00999999999</v>
      </c>
      <c r="C14" s="7" t="n">
        <v>8500</v>
      </c>
      <c r="D14" s="7" t="n">
        <v>0</v>
      </c>
      <c r="E14" s="7" t="n">
        <v>420</v>
      </c>
      <c r="F14" s="5" t="n">
        <v>80439.00999999999</v>
      </c>
    </row>
    <row r="15">
      <c r="A15" s="6" t="inlineStr">
        <is>
          <t>ago/2026</t>
        </is>
      </c>
      <c r="B15" s="7" t="n">
        <v>142101.11</v>
      </c>
      <c r="C15" s="7" t="n">
        <v>8500</v>
      </c>
      <c r="D15" s="7" t="n">
        <v>0</v>
      </c>
      <c r="E15" s="7" t="n">
        <v>285</v>
      </c>
      <c r="F15" s="5" t="n">
        <v>150886.11</v>
      </c>
    </row>
    <row r="16">
      <c r="A16" s="6" t="inlineStr">
        <is>
          <t>set/2026</t>
        </is>
      </c>
      <c r="B16" s="7" t="n">
        <v>79642.37</v>
      </c>
      <c r="C16" s="7" t="n">
        <v>8500</v>
      </c>
      <c r="D16" s="7" t="n">
        <v>43.4</v>
      </c>
      <c r="E16" s="7" t="n">
        <v>1010</v>
      </c>
      <c r="F16" s="5" t="n">
        <v>89195.77</v>
      </c>
    </row>
    <row r="17">
      <c r="A17" s="4" t="inlineStr">
        <is>
          <t>TOTAL</t>
        </is>
      </c>
      <c r="B17" s="5" t="n">
        <v>658096.04</v>
      </c>
      <c r="C17" s="5" t="n">
        <v>45500</v>
      </c>
      <c r="D17" s="5" t="n">
        <v>21141.64</v>
      </c>
      <c r="E17" s="5" t="n">
        <v>4786.23</v>
      </c>
      <c r="F17" s="11" t="n">
        <v>729523.91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0" t="inlineStr">
        <is>
          <t>Borderline (NCC)</t>
        </is>
      </c>
    </row>
    <row r="3">
      <c r="A3" s="3" t="inlineStr">
        <is>
          <t>Mês/Ano</t>
        </is>
      </c>
      <c r="B3" s="3" t="inlineStr">
        <is>
          <t>0302006 COMERCIAL - MULTAS / ACORDOS I</t>
        </is>
      </c>
      <c r="C3" s="3" t="inlineStr">
        <is>
          <t>0104002 DESCONTOS CONCEDIDOS A CLIENTE</t>
        </is>
      </c>
      <c r="D3" s="3" t="inlineStr">
        <is>
          <t>0102003 DESCONTOS FINANCEIROS OBTIDOS</t>
        </is>
      </c>
      <c r="E3" s="3" t="inlineStr">
        <is>
          <t>0404003 RECLAMACOES DE CLIENTES</t>
        </is>
      </c>
      <c r="F3" s="3" t="inlineStr">
        <is>
          <t>TOTAL</t>
        </is>
      </c>
    </row>
    <row r="4">
      <c r="A4" s="6" t="inlineStr">
        <is>
          <t>set/2025</t>
        </is>
      </c>
      <c r="B4" s="7" t="n">
        <v>3178.21</v>
      </c>
      <c r="C4" s="7" t="n">
        <v>0</v>
      </c>
      <c r="D4" s="7" t="n">
        <v>0</v>
      </c>
      <c r="E4" s="7" t="n">
        <v>0</v>
      </c>
      <c r="F4" s="5" t="n">
        <v>3178.21</v>
      </c>
    </row>
    <row r="5">
      <c r="A5" s="6" t="inlineStr">
        <is>
          <t>out/2025</t>
        </is>
      </c>
      <c r="B5" s="7" t="n">
        <v>13749.77</v>
      </c>
      <c r="C5" s="7" t="n">
        <v>0</v>
      </c>
      <c r="D5" s="7" t="n">
        <v>0</v>
      </c>
      <c r="E5" s="7" t="n">
        <v>0</v>
      </c>
      <c r="F5" s="5" t="n">
        <v>13749.77</v>
      </c>
    </row>
    <row r="6">
      <c r="A6" s="6" t="inlineStr">
        <is>
          <t>nov/2025</t>
        </is>
      </c>
      <c r="B6" s="7" t="n">
        <v>15235.97</v>
      </c>
      <c r="C6" s="7" t="n">
        <v>0</v>
      </c>
      <c r="D6" s="7" t="n">
        <v>0</v>
      </c>
      <c r="E6" s="7" t="n">
        <v>0</v>
      </c>
      <c r="F6" s="5" t="n">
        <v>15235.97</v>
      </c>
    </row>
    <row r="7">
      <c r="A7" s="6" t="inlineStr">
        <is>
          <t>dez/2025</t>
        </is>
      </c>
      <c r="B7" s="7" t="n">
        <v>10164.85</v>
      </c>
      <c r="C7" s="7" t="n">
        <v>0</v>
      </c>
      <c r="D7" s="7" t="n">
        <v>0</v>
      </c>
      <c r="E7" s="7" t="n">
        <v>0</v>
      </c>
      <c r="F7" s="5" t="n">
        <v>10164.85</v>
      </c>
    </row>
    <row r="8">
      <c r="A8" s="6" t="inlineStr">
        <is>
          <t>jan/2026</t>
        </is>
      </c>
      <c r="B8" s="7" t="n">
        <v>12848.61</v>
      </c>
      <c r="C8" s="7" t="n">
        <v>0</v>
      </c>
      <c r="D8" s="7" t="n">
        <v>0</v>
      </c>
      <c r="E8" s="7" t="n">
        <v>0</v>
      </c>
      <c r="F8" s="5" t="n">
        <v>12848.61</v>
      </c>
    </row>
    <row r="9">
      <c r="A9" s="6" t="inlineStr">
        <is>
          <t>fev/2026</t>
        </is>
      </c>
      <c r="B9" s="7" t="n">
        <v>59975.43</v>
      </c>
      <c r="C9" s="7" t="n">
        <v>0</v>
      </c>
      <c r="D9" s="7" t="n">
        <v>5080.32</v>
      </c>
      <c r="E9" s="7" t="n">
        <v>0</v>
      </c>
      <c r="F9" s="5" t="n">
        <v>65055.75</v>
      </c>
    </row>
    <row r="10">
      <c r="A10" s="6" t="inlineStr">
        <is>
          <t>mar/2026</t>
        </is>
      </c>
      <c r="B10" s="7" t="n">
        <v>17350.25</v>
      </c>
      <c r="C10" s="7" t="n">
        <v>0</v>
      </c>
      <c r="D10" s="7" t="n">
        <v>0</v>
      </c>
      <c r="E10" s="7" t="n">
        <v>28.34</v>
      </c>
      <c r="F10" s="5" t="n">
        <v>17378.59</v>
      </c>
    </row>
    <row r="11">
      <c r="A11" s="6" t="inlineStr">
        <is>
          <t>abr/2026</t>
        </is>
      </c>
      <c r="B11" s="7" t="n">
        <v>8222.709999999999</v>
      </c>
      <c r="C11" s="7" t="n">
        <v>0</v>
      </c>
      <c r="D11" s="7" t="n">
        <v>0</v>
      </c>
      <c r="E11" s="7" t="n">
        <v>0</v>
      </c>
      <c r="F11" s="5" t="n">
        <v>8222.709999999999</v>
      </c>
    </row>
    <row r="12">
      <c r="A12" s="6" t="inlineStr">
        <is>
          <t>mai/2026</t>
        </is>
      </c>
      <c r="B12" s="7" t="n">
        <v>100</v>
      </c>
      <c r="C12" s="7" t="n">
        <v>3861.64</v>
      </c>
      <c r="D12" s="7" t="n">
        <v>0</v>
      </c>
      <c r="E12" s="7" t="n">
        <v>395.78</v>
      </c>
      <c r="F12" s="5" t="n">
        <v>4357.42</v>
      </c>
    </row>
    <row r="13">
      <c r="A13" s="6" t="inlineStr">
        <is>
          <t>jun/2026</t>
        </is>
      </c>
      <c r="B13" s="7" t="n">
        <v>12950.97</v>
      </c>
      <c r="C13" s="7" t="n">
        <v>209.81</v>
      </c>
      <c r="D13" s="7" t="n">
        <v>0</v>
      </c>
      <c r="E13" s="7" t="n">
        <v>0</v>
      </c>
      <c r="F13" s="5" t="n">
        <v>13160.78</v>
      </c>
    </row>
    <row r="14">
      <c r="A14" s="6" t="inlineStr">
        <is>
          <t>jul/2026</t>
        </is>
      </c>
      <c r="B14" s="7" t="n">
        <v>83244.38</v>
      </c>
      <c r="C14" s="7" t="n">
        <v>1844.42</v>
      </c>
      <c r="D14" s="7" t="n">
        <v>0</v>
      </c>
      <c r="E14" s="7" t="n">
        <v>0</v>
      </c>
      <c r="F14" s="5" t="n">
        <v>85088.8</v>
      </c>
    </row>
    <row r="15">
      <c r="A15" s="6" t="inlineStr">
        <is>
          <t>ago/2026</t>
        </is>
      </c>
      <c r="B15" s="7" t="n">
        <v>20190.69</v>
      </c>
      <c r="C15" s="7" t="n">
        <v>1129.19</v>
      </c>
      <c r="D15" s="7" t="n">
        <v>0</v>
      </c>
      <c r="E15" s="7" t="n">
        <v>0</v>
      </c>
      <c r="F15" s="5" t="n">
        <v>21319.88</v>
      </c>
    </row>
    <row r="16">
      <c r="A16" s="6" t="inlineStr">
        <is>
          <t>set/2026</t>
        </is>
      </c>
      <c r="B16" s="7" t="n">
        <v>10550</v>
      </c>
      <c r="C16" s="7" t="n">
        <v>1629.64</v>
      </c>
      <c r="D16" s="7" t="n">
        <v>0</v>
      </c>
      <c r="E16" s="7" t="n">
        <v>0</v>
      </c>
      <c r="F16" s="5" t="n">
        <v>12179.64</v>
      </c>
    </row>
    <row r="17">
      <c r="A17" s="4" t="inlineStr">
        <is>
          <t>TOTAL</t>
        </is>
      </c>
      <c r="B17" s="5" t="n">
        <v>267761.84</v>
      </c>
      <c r="C17" s="5" t="n">
        <v>8674.700000000001</v>
      </c>
      <c r="D17" s="5" t="n">
        <v>5080.32</v>
      </c>
      <c r="E17" s="5" t="n">
        <v>424.12</v>
      </c>
      <c r="F17" s="11" t="n">
        <v>281940.98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10" t="inlineStr">
        <is>
          <t>PERDAS (Pagar)</t>
        </is>
      </c>
    </row>
    <row r="3">
      <c r="A3" s="3" t="inlineStr">
        <is>
          <t>Mês/Ano</t>
        </is>
      </c>
      <c r="B3" s="3" t="inlineStr">
        <is>
          <t>0104004 MERCADORIAS VENCIDAS - PERDAS</t>
        </is>
      </c>
      <c r="C3" s="3" t="inlineStr">
        <is>
          <t>TOTAL</t>
        </is>
      </c>
    </row>
    <row r="4">
      <c r="A4" s="6" t="inlineStr">
        <is>
          <t>set/2025</t>
        </is>
      </c>
      <c r="B4" s="7" t="n">
        <v>2507.25</v>
      </c>
      <c r="C4" s="5" t="n">
        <v>2507.25</v>
      </c>
    </row>
    <row r="5">
      <c r="A5" s="6" t="inlineStr">
        <is>
          <t>out/2025</t>
        </is>
      </c>
      <c r="B5" s="7" t="n">
        <v>1501.66</v>
      </c>
      <c r="C5" s="5" t="n">
        <v>1501.66</v>
      </c>
    </row>
    <row r="6">
      <c r="A6" s="6" t="inlineStr">
        <is>
          <t>nov/2025</t>
        </is>
      </c>
      <c r="B6" s="7" t="n">
        <v>1337.85</v>
      </c>
      <c r="C6" s="5" t="n">
        <v>1337.85</v>
      </c>
    </row>
    <row r="7">
      <c r="A7" s="6" t="inlineStr">
        <is>
          <t>dez/2025</t>
        </is>
      </c>
      <c r="B7" s="7" t="n">
        <v>13450.2</v>
      </c>
      <c r="C7" s="5" t="n">
        <v>13450.2</v>
      </c>
    </row>
    <row r="8">
      <c r="A8" s="6" t="inlineStr">
        <is>
          <t>jan/2026</t>
        </is>
      </c>
      <c r="B8" s="7" t="n">
        <v>1476.59</v>
      </c>
      <c r="C8" s="5" t="n">
        <v>1476.59</v>
      </c>
    </row>
    <row r="9">
      <c r="A9" s="6" t="inlineStr">
        <is>
          <t>fev/2026</t>
        </is>
      </c>
      <c r="B9" s="7" t="n">
        <v>1254.52</v>
      </c>
      <c r="C9" s="5" t="n">
        <v>1254.52</v>
      </c>
    </row>
    <row r="10">
      <c r="A10" s="6" t="inlineStr">
        <is>
          <t>mar/2026</t>
        </is>
      </c>
      <c r="B10" s="7" t="n">
        <v>0</v>
      </c>
      <c r="C10" s="5" t="n">
        <v>0</v>
      </c>
    </row>
    <row r="11">
      <c r="A11" s="6" t="inlineStr">
        <is>
          <t>abr/2026</t>
        </is>
      </c>
      <c r="B11" s="7" t="n">
        <v>886.58</v>
      </c>
      <c r="C11" s="5" t="n">
        <v>886.58</v>
      </c>
    </row>
    <row r="12">
      <c r="A12" s="6" t="inlineStr">
        <is>
          <t>mai/2026</t>
        </is>
      </c>
      <c r="B12" s="7" t="n">
        <v>2298.8</v>
      </c>
      <c r="C12" s="5" t="n">
        <v>2298.8</v>
      </c>
    </row>
    <row r="13">
      <c r="A13" s="6" t="inlineStr">
        <is>
          <t>jun/2026</t>
        </is>
      </c>
      <c r="B13" s="7" t="n">
        <v>1078</v>
      </c>
      <c r="C13" s="5" t="n">
        <v>1078</v>
      </c>
    </row>
    <row r="14">
      <c r="A14" s="6" t="inlineStr">
        <is>
          <t>jul/2026</t>
        </is>
      </c>
      <c r="B14" s="7" t="n">
        <v>16389.45</v>
      </c>
      <c r="C14" s="5" t="n">
        <v>16389.45</v>
      </c>
    </row>
    <row r="15">
      <c r="A15" s="6" t="inlineStr">
        <is>
          <t>ago/2026</t>
        </is>
      </c>
      <c r="B15" s="7" t="n">
        <v>1711.47</v>
      </c>
      <c r="C15" s="5" t="n">
        <v>1711.47</v>
      </c>
    </row>
    <row r="16">
      <c r="A16" s="6" t="inlineStr">
        <is>
          <t>set/2026</t>
        </is>
      </c>
      <c r="B16" s="7" t="n">
        <v>21606.21</v>
      </c>
      <c r="C16" s="5" t="n">
        <v>21606.21</v>
      </c>
    </row>
    <row r="17">
      <c r="A17" s="4" t="inlineStr">
        <is>
          <t>TOTAL</t>
        </is>
      </c>
      <c r="B17" s="5" t="n">
        <v>65498.58</v>
      </c>
      <c r="C17" s="11" t="n">
        <v>65498.58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10" t="inlineStr">
        <is>
          <t>PERDAS (NCC)</t>
        </is>
      </c>
    </row>
    <row r="3">
      <c r="A3" s="3" t="inlineStr">
        <is>
          <t>Mês/Ano</t>
        </is>
      </c>
      <c r="B3" s="3" t="inlineStr">
        <is>
          <t>0104004 MERCADORIAS VENCIDAS - PERDAS</t>
        </is>
      </c>
      <c r="C3" s="3" t="inlineStr">
        <is>
          <t>TOTAL</t>
        </is>
      </c>
    </row>
    <row r="4">
      <c r="A4" s="6" t="inlineStr">
        <is>
          <t>set/2025</t>
        </is>
      </c>
      <c r="B4" s="7" t="n">
        <v>14148.7</v>
      </c>
      <c r="C4" s="5" t="n">
        <v>14148.7</v>
      </c>
    </row>
    <row r="5">
      <c r="A5" s="6" t="inlineStr">
        <is>
          <t>out/2025</t>
        </is>
      </c>
      <c r="B5" s="7" t="n">
        <v>18547.52</v>
      </c>
      <c r="C5" s="5" t="n">
        <v>18547.52</v>
      </c>
    </row>
    <row r="6">
      <c r="A6" s="6" t="inlineStr">
        <is>
          <t>nov/2025</t>
        </is>
      </c>
      <c r="B6" s="7" t="n">
        <v>25227.32</v>
      </c>
      <c r="C6" s="5" t="n">
        <v>25227.32</v>
      </c>
    </row>
    <row r="7">
      <c r="A7" s="6" t="inlineStr">
        <is>
          <t>dez/2025</t>
        </is>
      </c>
      <c r="B7" s="7" t="n">
        <v>19113.25</v>
      </c>
      <c r="C7" s="5" t="n">
        <v>19113.25</v>
      </c>
    </row>
    <row r="8">
      <c r="A8" s="6" t="inlineStr">
        <is>
          <t>jan/2026</t>
        </is>
      </c>
      <c r="B8" s="7" t="n">
        <v>14773.86</v>
      </c>
      <c r="C8" s="5" t="n">
        <v>14773.86</v>
      </c>
    </row>
    <row r="9">
      <c r="A9" s="6" t="inlineStr">
        <is>
          <t>fev/2026</t>
        </is>
      </c>
      <c r="B9" s="7" t="n">
        <v>17024.3</v>
      </c>
      <c r="C9" s="5" t="n">
        <v>17024.3</v>
      </c>
    </row>
    <row r="10">
      <c r="A10" s="6" t="inlineStr">
        <is>
          <t>mar/2026</t>
        </is>
      </c>
      <c r="B10" s="7" t="n">
        <v>33292.8</v>
      </c>
      <c r="C10" s="5" t="n">
        <v>33292.8</v>
      </c>
    </row>
    <row r="11">
      <c r="A11" s="6" t="inlineStr">
        <is>
          <t>abr/2026</t>
        </is>
      </c>
      <c r="B11" s="7" t="n">
        <v>5011.44</v>
      </c>
      <c r="C11" s="5" t="n">
        <v>5011.44</v>
      </c>
    </row>
    <row r="12">
      <c r="A12" s="6" t="inlineStr">
        <is>
          <t>mai/2026</t>
        </is>
      </c>
      <c r="B12" s="7" t="n">
        <v>9963.16</v>
      </c>
      <c r="C12" s="5" t="n">
        <v>9963.16</v>
      </c>
    </row>
    <row r="13">
      <c r="A13" s="6" t="inlineStr">
        <is>
          <t>jun/2026</t>
        </is>
      </c>
      <c r="B13" s="7" t="n">
        <v>15307.22</v>
      </c>
      <c r="C13" s="5" t="n">
        <v>15307.22</v>
      </c>
    </row>
    <row r="14">
      <c r="A14" s="6" t="inlineStr">
        <is>
          <t>jul/2026</t>
        </is>
      </c>
      <c r="B14" s="7" t="n">
        <v>8148.57</v>
      </c>
      <c r="C14" s="5" t="n">
        <v>8148.57</v>
      </c>
    </row>
    <row r="15">
      <c r="A15" s="6" t="inlineStr">
        <is>
          <t>ago/2026</t>
        </is>
      </c>
      <c r="B15" s="7" t="n">
        <v>14228.6</v>
      </c>
      <c r="C15" s="5" t="n">
        <v>14228.6</v>
      </c>
    </row>
    <row r="16">
      <c r="A16" s="6" t="inlineStr">
        <is>
          <t>set/2026</t>
        </is>
      </c>
      <c r="B16" s="7" t="n">
        <v>150368.3</v>
      </c>
      <c r="C16" s="5" t="n">
        <v>150368.3</v>
      </c>
    </row>
    <row r="17">
      <c r="A17" s="4" t="inlineStr">
        <is>
          <t>TOTAL</t>
        </is>
      </c>
      <c r="B17" s="5" t="n">
        <v>345155.04</v>
      </c>
      <c r="C17" s="11" t="n">
        <v>345155.04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2026-10-15T16:51:30Z</dcterms:created>
  <dcterms:modified xsi:type="dcterms:W3CDTF">2026-10-15T16:51:30Z</dcterms:modified>
</cp:coreProperties>
</file>